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5-1-gaal-lista-not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<sst xmlns="http://schemas.openxmlformats.org/spreadsheetml/2006/main" count="48" uniqueCount="12">
  <si>
    <t xml:space="preserve">CPF</t>
  </si>
  <si>
    <t xml:space="preserve">VA1</t>
  </si>
  <si>
    <t xml:space="preserve">VA2</t>
  </si>
  <si>
    <t xml:space="preserve">VA3</t>
  </si>
  <si>
    <t xml:space="preserve">NVA</t>
  </si>
  <si>
    <t xml:space="preserve">AR</t>
  </si>
  <si>
    <t xml:space="preserve">NP</t>
  </si>
  <si>
    <t xml:space="preserve">SIT</t>
  </si>
  <si>
    <t xml:space="preserve">VS</t>
  </si>
  <si>
    <t xml:space="preserve">NF</t>
  </si>
  <si>
    <t xml:space="preserve">EVA</t>
  </si>
  <si>
    <t xml:space="preserve">ausente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</si>
</sst>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"/>
    <numFmt numFmtId="166" formatCode="0.0"/>
    <numFmt numFmtId="167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sz val="7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  <cellStyle name="Sem título2" xfId="21"/>
  </cellStyles>
  <dxfs count="2">
    <dxf>
      <font>
        <color rgb="FFFFFFFF"/>
      </font>
      <fill>
        <patternFill>
          <bgColor rgb="FF2A6099"/>
        </patternFill>
      </fill>
    </dxf>
    <dxf>
      <font>
        <color rgb="FFFFFFFF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K3" activeCellId="0" sqref="K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.88"/>
    <col collapsed="false" customWidth="true" hidden="false" outlineLevel="0" max="6" min="2" style="1" width="7.97"/>
    <col collapsed="false" customWidth="true" hidden="false" outlineLevel="0" max="7" min="7" style="1" width="8.95"/>
    <col collapsed="false" customWidth="true" hidden="false" outlineLevel="0" max="8" min="8" style="1" width="13.12"/>
    <col collapsed="false" customWidth="true" hidden="false" outlineLevel="0" max="10" min="9" style="1" width="4.07"/>
    <col collapsed="false" customWidth="true" hidden="false" outlineLevel="0" max="11" min="11" style="1" width="9.21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2" t="s">
        <v>10</v>
      </c>
    </row>
    <row r="2" customFormat="false" ht="12.8" hidden="false" customHeight="false" outlineLevel="0" collapsed="false">
      <c r="A2" s="3" t="n">
        <v>1</v>
      </c>
      <c r="B2" s="4" t="s">
        <v>11</v>
      </c>
      <c r="C2" s="4" t="n">
        <v>0</v>
      </c>
      <c r="D2" s="1" t="s">
        <v>11</v>
      </c>
      <c r="E2" s="1" t="n">
        <f aca="false">ROUND(IF(B2="trancada"," ",1/3*(IF(B2="ausente",0,B2)+IF(C2="ausente",0,C2)+IF(D2="ausente",0,D2))),1)</f>
        <v>0</v>
      </c>
      <c r="F2" s="5" t="n">
        <v>10</v>
      </c>
      <c r="G2" s="4" t="n">
        <f aca="false">ROUND(IF(B2="trancada"," ",IF(F2="ausente",0,F2/10)+0.9*E2),1)</f>
        <v>1</v>
      </c>
      <c r="H2" s="6" t="str">
        <f aca="false">IF(OR(B2="ausente",C2="ausente",D2="ausente"),"VR",IF(G2&lt;4,"REPROVADO",IF(G2&lt;5.9,"VS","APROVADO")))</f>
        <v>VR</v>
      </c>
      <c r="J2" s="4" t="n">
        <f aca="false">IF(OR(G2&lt;4,G2&gt;5.9),G2,IF(I2&gt;6,6,(I2+G2)/2))</f>
        <v>1</v>
      </c>
      <c r="K2" s="1" t="n">
        <v>1</v>
      </c>
      <c r="L2" s="2" t="n">
        <f aca="false">SUM(K2:K32)</f>
        <v>12</v>
      </c>
    </row>
    <row r="3" customFormat="false" ht="12.8" hidden="false" customHeight="false" outlineLevel="0" collapsed="false">
      <c r="A3" s="3" t="n">
        <v>2</v>
      </c>
      <c r="B3" s="4" t="s">
        <v>11</v>
      </c>
      <c r="C3" s="4" t="s">
        <v>11</v>
      </c>
      <c r="D3" s="1" t="s">
        <v>11</v>
      </c>
      <c r="E3" s="1" t="n">
        <f aca="false">ROUND(IF(B3="trancada"," ",1/3*(IF(B3="ausente",0,B3)+IF(C3="ausente",0,C3)+IF(D3="ausente",0,D3))),1)</f>
        <v>0</v>
      </c>
      <c r="F3" s="5" t="s">
        <v>11</v>
      </c>
      <c r="G3" s="4" t="n">
        <f aca="false">ROUND(IF(B3="trancada"," ",IF(F3="ausente",0,F3/10)+0.9*E3),1)</f>
        <v>0</v>
      </c>
      <c r="H3" s="6" t="str">
        <f aca="false">IF(OR(B3="ausente",C3="ausente",D3="ausente"),"VR",IF(G3&lt;4,"REPROVADO",IF(G3&lt;5.9,"VS","APROVADO")))</f>
        <v>VR</v>
      </c>
      <c r="J3" s="4" t="n">
        <f aca="false">IF(OR(G3&lt;4,G3&gt;5.9),G3,IF(I3&gt;6,6,(I3+G3)/2))</f>
        <v>0</v>
      </c>
      <c r="K3" s="1" t="n">
        <v>1</v>
      </c>
    </row>
    <row r="4" customFormat="false" ht="12.8" hidden="false" customHeight="false" outlineLevel="0" collapsed="false">
      <c r="A4" s="3" t="n">
        <v>3</v>
      </c>
      <c r="B4" s="4" t="s">
        <v>11</v>
      </c>
      <c r="C4" s="4" t="n">
        <v>0</v>
      </c>
      <c r="D4" s="4" t="n">
        <v>0.3</v>
      </c>
      <c r="E4" s="1" t="n">
        <f aca="false">ROUND(IF(B4="trancada"," ",1/3*(IF(B4="ausente",0,B4)+IF(C4="ausente",0,C4)+IF(D4="ausente",0,D4))),1)</f>
        <v>0.1</v>
      </c>
      <c r="F4" s="7" t="n">
        <v>10</v>
      </c>
      <c r="G4" s="4" t="n">
        <f aca="false">ROUND(IF(B4="trancada"," ",IF(F4="ausente",0,F4/10)+0.9*E4),1)</f>
        <v>1.1</v>
      </c>
      <c r="H4" s="6" t="str">
        <f aca="false">IF(OR(B4="ausente",C4="ausente",D4="ausente"),"VR",IF(G4&lt;4,"REPROVADO",IF(G4&lt;5.9,"VS","APROVADO")))</f>
        <v>VR</v>
      </c>
      <c r="J4" s="4" t="n">
        <f aca="false">IF(OR(G4&lt;4,G4&gt;5.9),G4,IF(I4&gt;6,6,(I4+G4)/2))</f>
        <v>1.1</v>
      </c>
    </row>
    <row r="5" customFormat="false" ht="12.8" hidden="false" customHeight="false" outlineLevel="0" collapsed="false">
      <c r="A5" s="3" t="n">
        <v>4</v>
      </c>
      <c r="B5" s="4" t="n">
        <v>4.7</v>
      </c>
      <c r="C5" s="4" t="n">
        <v>6.5</v>
      </c>
      <c r="D5" s="4" t="n">
        <v>4</v>
      </c>
      <c r="E5" s="1" t="n">
        <f aca="false">ROUND(IF(B5="trancada"," ",1/3*(IF(B5="ausente",0,B5)+IF(C5="ausente",0,C5)+IF(D5="ausente",0,D5))),1)</f>
        <v>5.1</v>
      </c>
      <c r="F5" s="7" t="n">
        <v>10</v>
      </c>
      <c r="G5" s="4" t="n">
        <f aca="false">ROUND(IF(B5="trancada"," ",IF(F5="ausente",0,F5/10)+0.9*E5),1)</f>
        <v>5.6</v>
      </c>
      <c r="H5" s="6" t="str">
        <f aca="false">IF(OR(B5="ausente",C5="ausente",D5="ausente"),"VR",IF(G5&lt;4,"REPROVADO",IF(G5&lt;5.9,"VS","APROVADO")))</f>
        <v>VS</v>
      </c>
      <c r="J5" s="4" t="n">
        <f aca="false">IF(OR(G5&lt;4,G5&gt;5.9),G5,IF(I5&gt;6,6,(I5+G5)/2))</f>
        <v>2.8</v>
      </c>
    </row>
    <row r="6" customFormat="false" ht="12.8" hidden="false" customHeight="false" outlineLevel="0" collapsed="false">
      <c r="A6" s="3" t="n">
        <v>5</v>
      </c>
      <c r="B6" s="4" t="n">
        <v>3.5</v>
      </c>
      <c r="C6" s="4" t="n">
        <v>2.7</v>
      </c>
      <c r="D6" s="1" t="s">
        <v>11</v>
      </c>
      <c r="E6" s="1" t="n">
        <f aca="false">ROUND(IF(B6="trancada"," ",1/3*(IF(B6="ausente",0,B6)+IF(C6="ausente",0,C6)+IF(D6="ausente",0,D6))),1)</f>
        <v>2.1</v>
      </c>
      <c r="F6" s="5" t="n">
        <v>10</v>
      </c>
      <c r="G6" s="4" t="n">
        <f aca="false">ROUND(IF(B6="trancada"," ",IF(F6="ausente",0,F6/10)+0.9*E6),1)</f>
        <v>2.9</v>
      </c>
      <c r="H6" s="6" t="str">
        <f aca="false">IF(OR(B6="ausente",C6="ausente",D6="ausente"),"VR",IF(G6&lt;4,"REPROVADO",IF(G6&lt;5.9,"VS","APROVADO")))</f>
        <v>VR</v>
      </c>
      <c r="J6" s="4" t="n">
        <f aca="false">IF(OR(G6&lt;4,G6&gt;5.9),G6,IF(I6&gt;6,6,(I6+G6)/2))</f>
        <v>2.9</v>
      </c>
    </row>
    <row r="7" customFormat="false" ht="12.8" hidden="false" customHeight="false" outlineLevel="0" collapsed="false">
      <c r="A7" s="3" t="n">
        <v>6</v>
      </c>
      <c r="B7" s="4" t="n">
        <v>8</v>
      </c>
      <c r="C7" s="4" t="n">
        <v>0.3</v>
      </c>
      <c r="D7" s="4" t="n">
        <v>2.3</v>
      </c>
      <c r="E7" s="1" t="n">
        <f aca="false">ROUND(IF(B7="trancada"," ",1/3*(IF(B7="ausente",0,B7)+IF(C7="ausente",0,C7)+IF(D7="ausente",0,D7))),1)</f>
        <v>3.5</v>
      </c>
      <c r="F7" s="7" t="n">
        <v>10</v>
      </c>
      <c r="G7" s="4" t="n">
        <f aca="false">ROUND(IF(B7="trancada"," ",IF(F7="ausente",0,F7/10)+0.9*E7),1)</f>
        <v>4.2</v>
      </c>
      <c r="H7" s="6" t="str">
        <f aca="false">IF(OR(B7="ausente",C7="ausente",D7="ausente"),"VR",IF(G7&lt;4,"REPROVADO",IF(G7&lt;5.9,"VS","APROVADO")))</f>
        <v>VS</v>
      </c>
      <c r="J7" s="4" t="n">
        <f aca="false">IF(OR(G7&lt;4,G7&gt;5.9),G7,IF(I7&gt;6,6,(I7+G7)/2))</f>
        <v>2.1</v>
      </c>
    </row>
    <row r="8" customFormat="false" ht="12.8" hidden="false" customHeight="false" outlineLevel="0" collapsed="false">
      <c r="A8" s="3" t="n">
        <v>7</v>
      </c>
      <c r="B8" s="4" t="n">
        <v>8.1</v>
      </c>
      <c r="C8" s="4" t="n">
        <v>10</v>
      </c>
      <c r="D8" s="4" t="n">
        <f aca="false">3.9+3+2.2</f>
        <v>9.1</v>
      </c>
      <c r="E8" s="1" t="n">
        <f aca="false">ROUND(IF(B8="trancada"," ",1/3*(IF(B8="ausente",0,B8)+IF(C8="ausente",0,C8)+IF(D8="ausente",0,D8))),1)</f>
        <v>9.1</v>
      </c>
      <c r="F8" s="7" t="n">
        <v>10</v>
      </c>
      <c r="G8" s="4" t="n">
        <f aca="false">ROUND(IF(B8="trancada"," ",IF(F8="ausente",0,F8/10)+0.9*E8),1)</f>
        <v>9.2</v>
      </c>
      <c r="H8" s="6" t="str">
        <f aca="false">IF(OR(B8="ausente",C8="ausente",D8="ausente"),"VR",IF(G8&lt;4,"REPROVADO",IF(G8&lt;5.9,"VS","APROVADO")))</f>
        <v>APROVADO</v>
      </c>
      <c r="J8" s="4" t="n">
        <f aca="false">IF(OR(G8&lt;4,G8&gt;5.9),G8,IF(I8&gt;6,6,(I8+G8)/2))</f>
        <v>9.2</v>
      </c>
    </row>
    <row r="9" customFormat="false" ht="12.8" hidden="false" customHeight="false" outlineLevel="0" collapsed="false">
      <c r="A9" s="3" t="n">
        <v>8</v>
      </c>
      <c r="B9" s="4" t="n">
        <v>6.8</v>
      </c>
      <c r="C9" s="4" t="s">
        <v>11</v>
      </c>
      <c r="D9" s="4" t="n">
        <v>1</v>
      </c>
      <c r="E9" s="1" t="n">
        <f aca="false">ROUND(IF(B9="trancada"," ",1/3*(IF(B9="ausente",0,B9)+IF(C9="ausente",0,C9)+IF(D9="ausente",0,D9))),1)</f>
        <v>2.6</v>
      </c>
      <c r="F9" s="7" t="n">
        <v>10</v>
      </c>
      <c r="G9" s="4" t="n">
        <f aca="false">ROUND(IF(B9="trancada"," ",IF(F9="ausente",0,F9/10)+0.9*E9),1)</f>
        <v>3.3</v>
      </c>
      <c r="H9" s="6" t="str">
        <f aca="false">IF(OR(B9="ausente",C9="ausente",D9="ausente"),"VR",IF(G9&lt;4,"REPROVADO",IF(G9&lt;5.9,"VS","APROVADO")))</f>
        <v>VR</v>
      </c>
      <c r="J9" s="4" t="n">
        <f aca="false">IF(OR(G9&lt;4,G9&gt;5.9),G9,IF(I9&gt;6,6,(I9+G9)/2))</f>
        <v>3.3</v>
      </c>
    </row>
    <row r="10" customFormat="false" ht="12.8" hidden="false" customHeight="false" outlineLevel="0" collapsed="false">
      <c r="A10" s="3" t="n">
        <v>9</v>
      </c>
      <c r="B10" s="4" t="n">
        <v>6.1</v>
      </c>
      <c r="C10" s="4" t="n">
        <v>3.6</v>
      </c>
      <c r="D10" s="4" t="n">
        <v>7</v>
      </c>
      <c r="E10" s="1" t="n">
        <f aca="false">ROUND(IF(B10="trancada"," ",1/3*(IF(B10="ausente",0,B10)+IF(C10="ausente",0,C10)+IF(D10="ausente",0,D10))),1)</f>
        <v>5.6</v>
      </c>
      <c r="F10" s="7" t="n">
        <v>10</v>
      </c>
      <c r="G10" s="4" t="n">
        <f aca="false">ROUND(IF(B10="trancada"," ",IF(F10="ausente",0,F10/10)+0.9*E10),1)</f>
        <v>6</v>
      </c>
      <c r="H10" s="6" t="str">
        <f aca="false">IF(OR(B10="ausente",C10="ausente",D10="ausente"),"VR",IF(G10&lt;4,"REPROVADO",IF(G10&lt;5.9,"VS","APROVADO")))</f>
        <v>APROVADO</v>
      </c>
      <c r="J10" s="4" t="n">
        <f aca="false">IF(OR(G10&lt;4,G10&gt;5.9),G10,IF(I10&gt;6,6,(I10+G10)/2))</f>
        <v>6</v>
      </c>
    </row>
    <row r="11" customFormat="false" ht="12.8" hidden="false" customHeight="false" outlineLevel="0" collapsed="false">
      <c r="A11" s="3" t="n">
        <v>10</v>
      </c>
      <c r="B11" s="4" t="n">
        <v>2</v>
      </c>
      <c r="C11" s="4" t="n">
        <v>1.4</v>
      </c>
      <c r="D11" s="1" t="s">
        <v>11</v>
      </c>
      <c r="E11" s="1" t="n">
        <f aca="false">ROUND(IF(B11="trancada"," ",1/3*(IF(B11="ausente",0,B11)+IF(C11="ausente",0,C11)+IF(D11="ausente",0,D11))),1)</f>
        <v>1.1</v>
      </c>
      <c r="F11" s="5" t="n">
        <v>10</v>
      </c>
      <c r="G11" s="4" t="n">
        <f aca="false">ROUND(IF(B11="trancada"," ",IF(F11="ausente",0,F11/10)+0.9*E11),1)</f>
        <v>2</v>
      </c>
      <c r="H11" s="6" t="str">
        <f aca="false">IF(OR(B11="ausente",C11="ausente",D11="ausente"),"VR",IF(G11&lt;4,"REPROVADO",IF(G11&lt;5.9,"VS","APROVADO")))</f>
        <v>VR</v>
      </c>
      <c r="J11" s="4" t="n">
        <f aca="false">IF(OR(G11&lt;4,G11&gt;5.9),G11,IF(I11&gt;6,6,(I11+G11)/2))</f>
        <v>2</v>
      </c>
    </row>
    <row r="12" customFormat="false" ht="12.8" hidden="false" customHeight="false" outlineLevel="0" collapsed="false">
      <c r="A12" s="3" t="n">
        <v>11</v>
      </c>
      <c r="B12" s="4" t="s">
        <v>11</v>
      </c>
      <c r="C12" s="4" t="n">
        <v>6.9</v>
      </c>
      <c r="D12" s="1" t="s">
        <v>11</v>
      </c>
      <c r="E12" s="1" t="n">
        <f aca="false">ROUND(IF(B12="trancada"," ",1/3*(IF(B12="ausente",0,B12)+IF(C12="ausente",0,C12)+IF(D12="ausente",0,D12))),1)</f>
        <v>2.3</v>
      </c>
      <c r="F12" s="5" t="n">
        <v>10</v>
      </c>
      <c r="G12" s="4" t="n">
        <f aca="false">ROUND(IF(B12="trancada"," ",IF(F12="ausente",0,F12/10)+0.9*E12),1)</f>
        <v>3.1</v>
      </c>
      <c r="H12" s="6" t="str">
        <f aca="false">IF(OR(B12="ausente",C12="ausente",D12="ausente"),"VR",IF(G12&lt;4,"REPROVADO",IF(G12&lt;5.9,"VS","APROVADO")))</f>
        <v>VR</v>
      </c>
      <c r="J12" s="4" t="n">
        <f aca="false">IF(OR(G12&lt;4,G12&gt;5.9),G12,IF(I12&gt;6,6,(I12+G12)/2))</f>
        <v>3.1</v>
      </c>
      <c r="K12" s="1" t="n">
        <v>1</v>
      </c>
    </row>
    <row r="13" customFormat="false" ht="12.8" hidden="false" customHeight="false" outlineLevel="0" collapsed="false">
      <c r="A13" s="3" t="n">
        <v>12</v>
      </c>
      <c r="B13" s="4" t="s">
        <v>11</v>
      </c>
      <c r="C13" s="4" t="n">
        <v>3.8</v>
      </c>
      <c r="D13" s="4" t="n">
        <v>0.3</v>
      </c>
      <c r="E13" s="1" t="n">
        <f aca="false">ROUND(IF(B13="trancada"," ",1/3*(IF(B13="ausente",0,B13)+IF(C13="ausente",0,C13)+IF(D13="ausente",0,D13))),1)</f>
        <v>1.4</v>
      </c>
      <c r="F13" s="7" t="n">
        <v>10</v>
      </c>
      <c r="G13" s="4" t="n">
        <f aca="false">ROUND(IF(B13="trancada"," ",IF(F13="ausente",0,F13/10)+0.9*E13),1)</f>
        <v>2.3</v>
      </c>
      <c r="H13" s="6" t="str">
        <f aca="false">IF(OR(B13="ausente",C13="ausente",D13="ausente"),"VR",IF(G13&lt;4,"REPROVADO",IF(G13&lt;5.9,"VS","APROVADO")))</f>
        <v>VR</v>
      </c>
      <c r="J13" s="4" t="n">
        <f aca="false">IF(OR(G13&lt;4,G13&gt;5.9),G13,IF(I13&gt;6,6,(I13+G13)/2))</f>
        <v>2.3</v>
      </c>
    </row>
    <row r="14" customFormat="false" ht="12.8" hidden="false" customHeight="false" outlineLevel="0" collapsed="false">
      <c r="A14" s="3" t="n">
        <v>13</v>
      </c>
      <c r="B14" s="4" t="n">
        <v>4.2</v>
      </c>
      <c r="C14" s="4" t="s">
        <v>11</v>
      </c>
      <c r="D14" s="1" t="s">
        <v>11</v>
      </c>
      <c r="E14" s="1" t="n">
        <f aca="false">ROUND(IF(B14="trancada"," ",1/3*(IF(B14="ausente",0,B14)+IF(C14="ausente",0,C14)+IF(D14="ausente",0,D14))),1)</f>
        <v>1.4</v>
      </c>
      <c r="F14" s="5" t="n">
        <v>10</v>
      </c>
      <c r="G14" s="4" t="n">
        <f aca="false">ROUND(IF(B14="trancada"," ",IF(F14="ausente",0,F14/10)+0.9*E14),1)</f>
        <v>2.3</v>
      </c>
      <c r="H14" s="6" t="str">
        <f aca="false">IF(OR(B14="ausente",C14="ausente",D14="ausente"),"VR",IF(G14&lt;4,"REPROVADO",IF(G14&lt;5.9,"VS","APROVADO")))</f>
        <v>VR</v>
      </c>
      <c r="J14" s="4" t="n">
        <f aca="false">IF(OR(G14&lt;4,G14&gt;5.9),G14,IF(I14&gt;6,6,(I14+G14)/2))</f>
        <v>2.3</v>
      </c>
      <c r="K14" s="1" t="n">
        <v>1</v>
      </c>
    </row>
    <row r="15" customFormat="false" ht="12.8" hidden="false" customHeight="false" outlineLevel="0" collapsed="false">
      <c r="A15" s="3" t="n">
        <v>14</v>
      </c>
      <c r="B15" s="4" t="s">
        <v>11</v>
      </c>
      <c r="C15" s="4" t="s">
        <v>11</v>
      </c>
      <c r="D15" s="1" t="s">
        <v>11</v>
      </c>
      <c r="E15" s="1" t="n">
        <f aca="false">ROUND(IF(B15="trancada"," ",1/3*(IF(B15="ausente",0,B15)+IF(C15="ausente",0,C15)+IF(D15="ausente",0,D15))),1)</f>
        <v>0</v>
      </c>
      <c r="F15" s="5" t="s">
        <v>11</v>
      </c>
      <c r="G15" s="4" t="n">
        <f aca="false">ROUND(IF(B15="trancada"," ",IF(F15="ausente",0,F15/10)+0.9*E15),1)</f>
        <v>0</v>
      </c>
      <c r="H15" s="6" t="str">
        <f aca="false">IF(OR(B15="ausente",C15="ausente",D15="ausente"),"VR",IF(G15&lt;4,"REPROVADO",IF(G15&lt;5.9,"VS","APROVADO")))</f>
        <v>VR</v>
      </c>
      <c r="J15" s="4" t="n">
        <f aca="false">IF(OR(G15&lt;4,G15&gt;5.9),G15,IF(I15&gt;6,6,(I15+G15)/2))</f>
        <v>0</v>
      </c>
      <c r="K15" s="1" t="n">
        <v>1</v>
      </c>
    </row>
    <row r="16" customFormat="false" ht="12.8" hidden="false" customHeight="false" outlineLevel="0" collapsed="false">
      <c r="A16" s="3" t="n">
        <v>15</v>
      </c>
      <c r="B16" s="4" t="n">
        <v>6.8</v>
      </c>
      <c r="C16" s="4" t="n">
        <v>3</v>
      </c>
      <c r="D16" s="4" t="n">
        <v>1.3</v>
      </c>
      <c r="E16" s="1" t="n">
        <f aca="false">ROUND(IF(B16="trancada"," ",1/3*(IF(B16="ausente",0,B16)+IF(C16="ausente",0,C16)+IF(D16="ausente",0,D16))),1)</f>
        <v>3.7</v>
      </c>
      <c r="F16" s="7" t="n">
        <v>10</v>
      </c>
      <c r="G16" s="4" t="n">
        <f aca="false">ROUND(IF(B16="trancada"," ",IF(F16="ausente",0,F16/10)+0.9*E16),1)</f>
        <v>4.3</v>
      </c>
      <c r="H16" s="6" t="str">
        <f aca="false">IF(OR(B16="ausente",C16="ausente",D16="ausente"),"VR",IF(G16&lt;4,"REPROVADO",IF(G16&lt;5.9,"VS","APROVADO")))</f>
        <v>VS</v>
      </c>
      <c r="J16" s="4" t="n">
        <f aca="false">IF(OR(G16&lt;4,G16&gt;5.9),G16,IF(I16&gt;6,6,(I16+G16)/2))</f>
        <v>2.15</v>
      </c>
    </row>
    <row r="17" customFormat="false" ht="12.8" hidden="false" customHeight="false" outlineLevel="0" collapsed="false">
      <c r="A17" s="3" t="n">
        <v>16</v>
      </c>
      <c r="B17" s="4" t="s">
        <v>11</v>
      </c>
      <c r="C17" s="4" t="n">
        <v>3.3</v>
      </c>
      <c r="D17" s="1" t="s">
        <v>11</v>
      </c>
      <c r="E17" s="1" t="n">
        <f aca="false">ROUND(IF(B17="trancada"," ",1/3*(IF(B17="ausente",0,B17)+IF(C17="ausente",0,C17)+IF(D17="ausente",0,D17))),1)</f>
        <v>1.1</v>
      </c>
      <c r="F17" s="5" t="n">
        <v>10</v>
      </c>
      <c r="G17" s="4" t="n">
        <f aca="false">ROUND(IF(B17="trancada"," ",IF(F17="ausente",0,F17/10)+0.9*E17),1)</f>
        <v>2</v>
      </c>
      <c r="H17" s="6" t="str">
        <f aca="false">IF(OR(B17="ausente",C17="ausente",D17="ausente"),"VR",IF(G17&lt;4,"REPROVADO",IF(G17&lt;5.9,"VS","APROVADO")))</f>
        <v>VR</v>
      </c>
      <c r="J17" s="4" t="n">
        <f aca="false">IF(OR(G17&lt;4,G17&gt;5.9),G17,IF(I17&gt;6,6,(I17+G17)/2))</f>
        <v>2</v>
      </c>
      <c r="K17" s="1" t="n">
        <v>1</v>
      </c>
    </row>
    <row r="18" customFormat="false" ht="12.8" hidden="false" customHeight="false" outlineLevel="0" collapsed="false">
      <c r="A18" s="3" t="n">
        <v>17</v>
      </c>
      <c r="B18" s="4" t="n">
        <v>8</v>
      </c>
      <c r="C18" s="4" t="n">
        <v>10</v>
      </c>
      <c r="D18" s="4" t="n">
        <v>6.1</v>
      </c>
      <c r="E18" s="1" t="n">
        <f aca="false">ROUND(IF(B18="trancada"," ",1/3*(IF(B18="ausente",0,B18)+IF(C18="ausente",0,C18)+IF(D18="ausente",0,D18))),1)</f>
        <v>8</v>
      </c>
      <c r="F18" s="7" t="n">
        <v>10</v>
      </c>
      <c r="G18" s="4" t="n">
        <f aca="false">ROUND(IF(B18="trancada"," ",IF(F18="ausente",0,F18/10)+0.9*E18),1)</f>
        <v>8.2</v>
      </c>
      <c r="H18" s="6" t="str">
        <f aca="false">IF(OR(B18="ausente",C18="ausente",D18="ausente"),"VR",IF(G18&lt;4,"REPROVADO",IF(G18&lt;5.9,"VS","APROVADO")))</f>
        <v>APROVADO</v>
      </c>
      <c r="J18" s="4" t="n">
        <f aca="false">IF(OR(G18&lt;4,G18&gt;5.9),G18,IF(I18&gt;6,6,(I18+G18)/2))</f>
        <v>8.2</v>
      </c>
    </row>
    <row r="19" customFormat="false" ht="12.8" hidden="false" customHeight="false" outlineLevel="0" collapsed="false">
      <c r="A19" s="3" t="n">
        <v>18</v>
      </c>
      <c r="B19" s="4" t="s">
        <v>11</v>
      </c>
      <c r="C19" s="4" t="n">
        <v>0</v>
      </c>
      <c r="D19" s="1" t="s">
        <v>11</v>
      </c>
      <c r="E19" s="1" t="n">
        <f aca="false">ROUND(IF(B19="trancada"," ",1/3*(IF(B19="ausente",0,B19)+IF(C19="ausente",0,C19)+IF(D19="ausente",0,D19))),1)</f>
        <v>0</v>
      </c>
      <c r="F19" s="5" t="n">
        <v>10</v>
      </c>
      <c r="G19" s="4" t="n">
        <f aca="false">ROUND(IF(B19="trancada"," ",IF(F19="ausente",0,F19/10)+0.9*E19),1)</f>
        <v>1</v>
      </c>
      <c r="H19" s="6" t="str">
        <f aca="false">IF(OR(B19="ausente",C19="ausente",D19="ausente"),"VR",IF(G19&lt;4,"REPROVADO",IF(G19&lt;5.9,"VS","APROVADO")))</f>
        <v>VR</v>
      </c>
      <c r="J19" s="4" t="n">
        <f aca="false">IF(OR(G19&lt;4,G19&gt;5.9),G19,IF(I19&gt;6,6,(I19+G19)/2))</f>
        <v>1</v>
      </c>
      <c r="K19" s="1" t="n">
        <v>1</v>
      </c>
    </row>
    <row r="20" customFormat="false" ht="12.8" hidden="false" customHeight="false" outlineLevel="0" collapsed="false">
      <c r="A20" s="3" t="n">
        <v>19</v>
      </c>
      <c r="B20" s="4" t="n">
        <v>8.8</v>
      </c>
      <c r="C20" s="4" t="n">
        <v>1.7</v>
      </c>
      <c r="D20" s="1" t="n">
        <v>6.6</v>
      </c>
      <c r="E20" s="1" t="n">
        <f aca="false">ROUND(IF(B20="trancada"," ",1/3*(IF(B20="ausente",0,B20)+IF(C20="ausente",0,C20)+IF(D20="ausente",0,D20))),1)</f>
        <v>5.7</v>
      </c>
      <c r="F20" s="5" t="n">
        <v>10</v>
      </c>
      <c r="G20" s="4" t="n">
        <f aca="false">ROUND(IF(B20="trancada"," ",IF(F20="ausente",0,F20/10)+0.9*E20),1)</f>
        <v>6.1</v>
      </c>
      <c r="H20" s="6" t="str">
        <f aca="false">IF(OR(B20="ausente",C20="ausente",D20="ausente"),"VR",IF(G20&lt;4,"REPROVADO",IF(G20&lt;5.9,"VS","APROVADO")))</f>
        <v>APROVADO</v>
      </c>
      <c r="J20" s="4" t="n">
        <f aca="false">IF(OR(G20&lt;4,G20&gt;5.9),G20,IF(I20&gt;6,6,(I20+G20)/2))</f>
        <v>6.1</v>
      </c>
    </row>
    <row r="21" customFormat="false" ht="12.8" hidden="false" customHeight="false" outlineLevel="0" collapsed="false">
      <c r="A21" s="3" t="n">
        <v>20</v>
      </c>
      <c r="B21" s="4" t="n">
        <v>3</v>
      </c>
      <c r="C21" s="4" t="n">
        <v>1.3</v>
      </c>
      <c r="D21" s="4" t="n">
        <v>0.8</v>
      </c>
      <c r="E21" s="1" t="n">
        <f aca="false">ROUND(IF(B21="trancada"," ",1/3*(IF(B21="ausente",0,B21)+IF(C21="ausente",0,C21)+IF(D21="ausente",0,D21))),1)</f>
        <v>1.7</v>
      </c>
      <c r="F21" s="7" t="n">
        <v>10</v>
      </c>
      <c r="G21" s="4" t="n">
        <f aca="false">ROUND(IF(B21="trancada"," ",IF(F21="ausente",0,F21/10)+0.9*E21),1)</f>
        <v>2.5</v>
      </c>
      <c r="H21" s="6" t="str">
        <f aca="false">IF(OR(B21="ausente",C21="ausente",D21="ausente"),"VR",IF(G21&lt;4,"REPROVADO",IF(G21&lt;5.9,"VS","APROVADO")))</f>
        <v>REPROVADO</v>
      </c>
      <c r="J21" s="4" t="n">
        <f aca="false">IF(OR(G21&lt;4,G21&gt;5.9),G21,IF(I21&gt;6,6,(I21+G21)/2))</f>
        <v>2.5</v>
      </c>
    </row>
    <row r="22" customFormat="false" ht="12.8" hidden="false" customHeight="false" outlineLevel="0" collapsed="false">
      <c r="A22" s="3" t="n">
        <v>21</v>
      </c>
      <c r="B22" s="4" t="s">
        <v>11</v>
      </c>
      <c r="C22" s="4" t="n">
        <v>5.5</v>
      </c>
      <c r="D22" s="1" t="s">
        <v>11</v>
      </c>
      <c r="E22" s="1" t="n">
        <f aca="false">ROUND(IF(B22="trancada"," ",1/3*(IF(B22="ausente",0,B22)+IF(C22="ausente",0,C22)+IF(D22="ausente",0,D22))),1)</f>
        <v>1.8</v>
      </c>
      <c r="F22" s="5" t="n">
        <v>10</v>
      </c>
      <c r="G22" s="4" t="n">
        <f aca="false">ROUND(IF(B22="trancada"," ",IF(F22="ausente",0,F22/10)+0.9*E22),1)</f>
        <v>2.6</v>
      </c>
      <c r="H22" s="6" t="str">
        <f aca="false">IF(OR(B22="ausente",C22="ausente",D22="ausente"),"VR",IF(G22&lt;4,"REPROVADO",IF(G22&lt;5.9,"VS","APROVADO")))</f>
        <v>VR</v>
      </c>
      <c r="J22" s="4" t="n">
        <f aca="false">IF(OR(G22&lt;4,G22&gt;5.9),G22,IF(I22&gt;6,6,(I22+G22)/2))</f>
        <v>2.6</v>
      </c>
      <c r="K22" s="1" t="n">
        <v>1</v>
      </c>
    </row>
    <row r="23" customFormat="false" ht="12.8" hidden="false" customHeight="false" outlineLevel="0" collapsed="false">
      <c r="A23" s="3" t="n">
        <v>22</v>
      </c>
      <c r="B23" s="4" t="s">
        <v>11</v>
      </c>
      <c r="C23" s="4" t="n">
        <v>0.3</v>
      </c>
      <c r="D23" s="4" t="n">
        <v>0.6</v>
      </c>
      <c r="E23" s="1" t="n">
        <f aca="false">ROUND(IF(B23="trancada"," ",1/3*(IF(B23="ausente",0,B23)+IF(C23="ausente",0,C23)+IF(D23="ausente",0,D23))),1)</f>
        <v>0.3</v>
      </c>
      <c r="F23" s="7" t="n">
        <v>10</v>
      </c>
      <c r="G23" s="4" t="n">
        <f aca="false">ROUND(IF(B23="trancada"," ",IF(F23="ausente",0,F23/10)+0.9*E23),1)</f>
        <v>1.3</v>
      </c>
      <c r="H23" s="6" t="str">
        <f aca="false">IF(OR(B23="ausente",C23="ausente",D23="ausente"),"VR",IF(G23&lt;4,"REPROVADO",IF(G23&lt;5.9,"VS","APROVADO")))</f>
        <v>VR</v>
      </c>
      <c r="J23" s="4" t="n">
        <f aca="false">IF(OR(G23&lt;4,G23&gt;5.9),G23,IF(I23&gt;6,6,(I23+G23)/2))</f>
        <v>1.3</v>
      </c>
    </row>
    <row r="24" customFormat="false" ht="12.8" hidden="false" customHeight="false" outlineLevel="0" collapsed="false">
      <c r="A24" s="3" t="n">
        <v>23</v>
      </c>
      <c r="B24" s="4" t="n">
        <v>7.7</v>
      </c>
      <c r="C24" s="4" t="n">
        <v>9.5</v>
      </c>
      <c r="D24" s="4" t="n">
        <v>8.2</v>
      </c>
      <c r="E24" s="1" t="n">
        <f aca="false">ROUND(IF(B24="trancada"," ",1/3*(IF(B24="ausente",0,B24)+IF(C24="ausente",0,C24)+IF(D24="ausente",0,D24))),1)</f>
        <v>8.5</v>
      </c>
      <c r="F24" s="7" t="n">
        <v>0</v>
      </c>
      <c r="G24" s="4" t="n">
        <f aca="false">ROUND(IF(B24="trancada"," ",IF(F24="ausente",0,F24/10)+0.9*E24),1)</f>
        <v>7.7</v>
      </c>
      <c r="H24" s="6" t="str">
        <f aca="false">IF(OR(B24="ausente",C24="ausente",D24="ausente"),"VR",IF(G24&lt;4,"REPROVADO",IF(G24&lt;5.9,"VS","APROVADO")))</f>
        <v>APROVADO</v>
      </c>
      <c r="J24" s="4" t="n">
        <f aca="false">IF(OR(G24&lt;4,G24&gt;5.9),G24,IF(I24&gt;6,6,(I24+G24)/2))</f>
        <v>7.7</v>
      </c>
    </row>
    <row r="25" customFormat="false" ht="12.8" hidden="false" customHeight="false" outlineLevel="0" collapsed="false">
      <c r="A25" s="3" t="n">
        <v>24</v>
      </c>
      <c r="B25" s="4" t="n">
        <v>1</v>
      </c>
      <c r="C25" s="4" t="s">
        <v>11</v>
      </c>
      <c r="D25" s="1" t="s">
        <v>11</v>
      </c>
      <c r="E25" s="1" t="n">
        <f aca="false">ROUND(IF(B25="trancada"," ",1/3*(IF(B25="ausente",0,B25)+IF(C25="ausente",0,C25)+IF(D25="ausente",0,D25))),1)</f>
        <v>0.3</v>
      </c>
      <c r="F25" s="5" t="n">
        <v>0</v>
      </c>
      <c r="G25" s="4" t="n">
        <f aca="false">ROUND(IF(B25="trancada"," ",IF(F25="ausente",0,F25/10)+0.9*E25),1)</f>
        <v>0.3</v>
      </c>
      <c r="H25" s="6" t="str">
        <f aca="false">IF(OR(B25="ausente",C25="ausente",D25="ausente"),"VR",IF(G25&lt;4,"REPROVADO",IF(G25&lt;5.9,"VS","APROVADO")))</f>
        <v>VR</v>
      </c>
      <c r="J25" s="4" t="n">
        <f aca="false">IF(OR(G25&lt;4,G25&gt;5.9),G25,IF(I25&gt;6,6,(I25+G25)/2))</f>
        <v>0.3</v>
      </c>
      <c r="K25" s="1" t="n">
        <v>1</v>
      </c>
    </row>
    <row r="26" customFormat="false" ht="12.8" hidden="false" customHeight="false" outlineLevel="0" collapsed="false">
      <c r="A26" s="3" t="n">
        <v>25</v>
      </c>
      <c r="B26" s="4" t="n">
        <v>3.5</v>
      </c>
      <c r="C26" s="4" t="s">
        <v>11</v>
      </c>
      <c r="D26" s="4" t="n">
        <v>2.8</v>
      </c>
      <c r="E26" s="1" t="n">
        <f aca="false">ROUND(IF(B26="trancada"," ",1/3*(IF(B26="ausente",0,B26)+IF(C26="ausente",0,C26)+IF(D26="ausente",0,D26))),1)</f>
        <v>2.1</v>
      </c>
      <c r="F26" s="7" t="n">
        <v>10</v>
      </c>
      <c r="G26" s="4" t="n">
        <f aca="false">ROUND(IF(B26="trancada"," ",IF(F26="ausente",0,F26/10)+0.9*E26),1)</f>
        <v>2.9</v>
      </c>
      <c r="H26" s="6" t="str">
        <f aca="false">IF(OR(B26="ausente",C26="ausente",D26="ausente"),"VR",IF(G26&lt;4,"REPROVADO",IF(G26&lt;5.9,"VS","APROVADO")))</f>
        <v>VR</v>
      </c>
      <c r="J26" s="4" t="n">
        <f aca="false">IF(OR(G26&lt;4,G26&gt;5.9),G26,IF(I26&gt;6,6,(I26+G26)/2))</f>
        <v>2.9</v>
      </c>
    </row>
    <row r="27" customFormat="false" ht="12.8" hidden="false" customHeight="false" outlineLevel="0" collapsed="false">
      <c r="A27" s="3" t="n">
        <v>26</v>
      </c>
      <c r="B27" s="4" t="s">
        <v>11</v>
      </c>
      <c r="C27" s="4" t="n">
        <v>0</v>
      </c>
      <c r="D27" s="1" t="s">
        <v>11</v>
      </c>
      <c r="E27" s="1" t="n">
        <f aca="false">ROUND(IF(B27="trancada"," ",1/3*(IF(B27="ausente",0,B27)+IF(C27="ausente",0,C27)+IF(D27="ausente",0,D27))),1)</f>
        <v>0</v>
      </c>
      <c r="F27" s="5" t="n">
        <v>10</v>
      </c>
      <c r="G27" s="4" t="n">
        <f aca="false">ROUND(IF(B27="trancada"," ",IF(F27="ausente",0,F27/10)+0.9*E27),1)</f>
        <v>1</v>
      </c>
      <c r="H27" s="6" t="str">
        <f aca="false">IF(OR(B27="ausente",C27="ausente",D27="ausente"),"VR",IF(G27&lt;4,"REPROVADO",IF(G27&lt;5.9,"VS","APROVADO")))</f>
        <v>VR</v>
      </c>
      <c r="J27" s="4" t="n">
        <f aca="false">IF(OR(G27&lt;4,G27&gt;5.9),G27,IF(I27&gt;6,6,(I27+G27)/2))</f>
        <v>1</v>
      </c>
      <c r="K27" s="1" t="n">
        <v>1</v>
      </c>
    </row>
    <row r="28" customFormat="false" ht="12.8" hidden="false" customHeight="false" outlineLevel="0" collapsed="false">
      <c r="A28" s="3" t="n">
        <v>27</v>
      </c>
      <c r="B28" s="4" t="s">
        <v>11</v>
      </c>
      <c r="C28" s="4" t="n">
        <v>0</v>
      </c>
      <c r="D28" s="1" t="s">
        <v>11</v>
      </c>
      <c r="E28" s="1" t="n">
        <f aca="false">ROUND(IF(B28="trancada"," ",1/3*(IF(B28="ausente",0,B28)+IF(C28="ausente",0,C28)+IF(D28="ausente",0,D28))),1)</f>
        <v>0</v>
      </c>
      <c r="F28" s="5" t="n">
        <v>10</v>
      </c>
      <c r="G28" s="4" t="n">
        <f aca="false">ROUND(IF(B28="trancada"," ",IF(F28="ausente",0,F28/10)+0.9*E28),1)</f>
        <v>1</v>
      </c>
      <c r="H28" s="6" t="str">
        <f aca="false">IF(OR(B28="ausente",C28="ausente",D28="ausente"),"VR",IF(G28&lt;4,"REPROVADO",IF(G28&lt;5.9,"VS","APROVADO")))</f>
        <v>VR</v>
      </c>
      <c r="J28" s="4" t="n">
        <f aca="false">IF(OR(G28&lt;4,G28&gt;5.9),G28,IF(I28&gt;6,6,(I28+G28)/2))</f>
        <v>1</v>
      </c>
      <c r="K28" s="1" t="n">
        <v>1</v>
      </c>
    </row>
    <row r="29" customFormat="false" ht="12.8" hidden="false" customHeight="false" outlineLevel="0" collapsed="false">
      <c r="A29" s="3" t="n">
        <v>28</v>
      </c>
      <c r="B29" s="4" t="n">
        <v>7.2</v>
      </c>
      <c r="C29" s="4" t="n">
        <v>7.3</v>
      </c>
      <c r="D29" s="4" t="n">
        <v>6.5</v>
      </c>
      <c r="E29" s="1" t="n">
        <f aca="false">ROUND(IF(B29="trancada"," ",1/3*(IF(B29="ausente",0,B29)+IF(C29="ausente",0,C29)+IF(D29="ausente",0,D29))),1)</f>
        <v>7</v>
      </c>
      <c r="F29" s="7" t="n">
        <v>10</v>
      </c>
      <c r="G29" s="4" t="n">
        <f aca="false">ROUND(IF(B29="trancada"," ",IF(F29="ausente",0,F29/10)+0.9*E29),1)</f>
        <v>7.3</v>
      </c>
      <c r="H29" s="6" t="str">
        <f aca="false">IF(OR(B29="ausente",C29="ausente",D29="ausente"),"VR",IF(G29&lt;4,"REPROVADO",IF(G29&lt;5.9,"VS","APROVADO")))</f>
        <v>APROVADO</v>
      </c>
      <c r="J29" s="4" t="n">
        <f aca="false">IF(OR(G29&lt;4,G29&gt;5.9),G29,IF(I29&gt;6,6,(I29+G29)/2))</f>
        <v>7.3</v>
      </c>
    </row>
    <row r="30" customFormat="false" ht="12.8" hidden="false" customHeight="false" outlineLevel="0" collapsed="false">
      <c r="A30" s="3" t="n">
        <v>29</v>
      </c>
      <c r="B30" s="4" t="s">
        <v>11</v>
      </c>
      <c r="C30" s="4" t="s">
        <v>11</v>
      </c>
      <c r="D30" s="1" t="s">
        <v>11</v>
      </c>
      <c r="E30" s="1" t="n">
        <f aca="false">ROUND(IF(B30="trancada"," ",1/3*(IF(B30="ausente",0,B30)+IF(C30="ausente",0,C30)+IF(D30="ausente",0,D30))),1)</f>
        <v>0</v>
      </c>
      <c r="F30" s="5" t="n">
        <v>10</v>
      </c>
      <c r="G30" s="4" t="n">
        <f aca="false">ROUND(IF(B30="trancada"," ",IF(F30="ausente",0,F30/10)+0.9*E30),1)</f>
        <v>1</v>
      </c>
      <c r="H30" s="6" t="str">
        <f aca="false">IF(OR(B30="ausente",C30="ausente",D30="ausente"),"VR",IF(G30&lt;4,"REPROVADO",IF(G30&lt;5.9,"VS","APROVADO")))</f>
        <v>VR</v>
      </c>
      <c r="J30" s="4" t="n">
        <f aca="false">IF(OR(G30&lt;4,G30&gt;5.9),G30,IF(I30&gt;6,6,(I30+G30)/2))</f>
        <v>1</v>
      </c>
      <c r="K30" s="1" t="n">
        <v>1</v>
      </c>
    </row>
    <row r="31" customFormat="false" ht="12.8" hidden="false" customHeight="false" outlineLevel="0" collapsed="false">
      <c r="A31" s="3" t="n">
        <v>30</v>
      </c>
      <c r="B31" s="4" t="n">
        <v>5.4</v>
      </c>
      <c r="C31" s="4" t="n">
        <v>0</v>
      </c>
      <c r="D31" s="4" t="n">
        <v>0.8</v>
      </c>
      <c r="E31" s="1" t="n">
        <f aca="false">ROUND(IF(B31="trancada"," ",1/3*(IF(B31="ausente",0,B31)+IF(C31="ausente",0,C31)+IF(D31="ausente",0,D31))),1)</f>
        <v>2.1</v>
      </c>
      <c r="F31" s="7" t="n">
        <v>10</v>
      </c>
      <c r="G31" s="4" t="n">
        <f aca="false">ROUND(IF(B31="trancada"," ",IF(F31="ausente",0,F31/10)+0.9*E31),1)</f>
        <v>2.9</v>
      </c>
      <c r="H31" s="6" t="str">
        <f aca="false">IF(OR(B31="ausente",C31="ausente",D31="ausente"),"VR",IF(G31&lt;4,"REPROVADO",IF(G31&lt;5.9,"VS","APROVADO")))</f>
        <v>REPROVADO</v>
      </c>
      <c r="J31" s="4" t="n">
        <f aca="false">IF(OR(G31&lt;4,G31&gt;5.9),G31,IF(I31&gt;6,6,(I31+G31)/2))</f>
        <v>2.9</v>
      </c>
    </row>
    <row r="32" customFormat="false" ht="12.8" hidden="false" customHeight="false" outlineLevel="0" collapsed="false">
      <c r="A32" s="3" t="n">
        <v>31</v>
      </c>
      <c r="B32" s="4" t="n">
        <v>3.1</v>
      </c>
      <c r="C32" s="4" t="n">
        <v>0.7</v>
      </c>
      <c r="D32" s="4" t="s">
        <v>11</v>
      </c>
      <c r="E32" s="1" t="n">
        <f aca="false">ROUND(IF(B32="trancada"," ",1/3*(IF(B32="ausente",0,B32)+IF(C32="ausente",0,C32)+IF(D32="ausente",0,D32))),1)</f>
        <v>1.3</v>
      </c>
      <c r="F32" s="7" t="n">
        <v>10</v>
      </c>
      <c r="G32" s="4" t="n">
        <f aca="false">ROUND(IF(B32="trancada"," ",IF(F32="ausente",0,F32/10)+0.9*E32),1)</f>
        <v>2.2</v>
      </c>
      <c r="H32" s="6" t="str">
        <f aca="false">IF(OR(B32="ausente",C32="ausente",D32="ausente"),"VR",IF(G32&lt;4,"REPROVADO",IF(G32&lt;5.9,"VS","APROVADO")))</f>
        <v>VR</v>
      </c>
      <c r="J32" s="4" t="n">
        <f aca="false">IF(OR(G32&lt;4,G32&gt;5.9),G32,IF(I32&gt;6,6,(I32+G32)/2))</f>
        <v>2.2</v>
      </c>
    </row>
  </sheetData>
  <conditionalFormatting sqref="H2:H32">
    <cfRule type="cellIs" priority="2" operator="equal" aboveAverage="0" equalAverage="0" bottom="0" percent="0" rank="0" text="" dxfId="0">
      <formula>"APR."</formula>
    </cfRule>
    <cfRule type="cellIs" priority="3" operator="equal" aboveAverage="0" equalAverage="0" bottom="0" percent="0" rank="0" text="" dxfId="1">
      <formula>"REP."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2025-12-11T10:36:23Z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